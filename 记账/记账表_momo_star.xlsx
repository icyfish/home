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导出摘要" sheetId="1" r:id="rId4"/>
    <sheet name="工作表 1 - 记账表_momo_star" sheetId="2" r:id="rId5"/>
    <sheet name="记账表_momo_star透视 - 记账表_momo_star" sheetId="3" r:id="rId6"/>
  </sheets>
  <pivotCaches>
    <pivotCache cacheId="0" r:id="rId7"/>
  </pivotCaches>
</workbook>
</file>

<file path=xl/sharedStrings.xml><?xml version="1.0" encoding="utf-8"?>
<sst xmlns="http://schemas.openxmlformats.org/spreadsheetml/2006/main" uniqueCount="41">
  <si>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</si>
  <si>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</si>
  <si>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</si>
  <si>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</si>
  <si>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工作表 1</t>
  </si>
  <si>
    <t>记账表_momo_star</t>
  </si>
  <si>
    <t>工作表 1 - 记账表_momo_star</t>
  </si>
  <si>
    <t>月份</t>
  </si>
  <si>
    <t>日期</t>
  </si>
  <si>
    <t>记账人</t>
  </si>
  <si>
    <t>收/支</t>
  </si>
  <si>
    <t>类目</t>
  </si>
  <si>
    <t>来源</t>
  </si>
  <si>
    <t>金额</t>
  </si>
  <si>
    <t>备注</t>
  </si>
  <si>
    <t>2026-02</t>
  </si>
  <si>
    <t>2026-02-28</t>
  </si>
  <si>
    <t>momo</t>
  </si>
  <si>
    <t>支出</t>
  </si>
  <si>
    <t>餐饮</t>
  </si>
  <si>
    <t>[堂食]_三立方凌空SOHO7号楼店_176187_SLFZY00013_无_无（零钱）</t>
  </si>
  <si>
    <t>上海凌空SOHO店（招商银行信用卡(5080)）</t>
  </si>
  <si>
    <t>2026-02-27</t>
  </si>
  <si>
    <t>娱乐</t>
  </si>
  <si>
    <t>上海市福利彩票发行中心（零钱）</t>
  </si>
  <si>
    <t>2026-02-26</t>
  </si>
  <si>
    <t>star</t>
  </si>
  <si>
    <t>购物</t>
  </si>
  <si>
    <t>淘宝平台商户（零钱）</t>
  </si>
  <si>
    <t>2026-03</t>
  </si>
  <si>
    <t>2026-03-01</t>
  </si>
  <si>
    <t>宠物</t>
  </si>
  <si>
    <t>皇家通用猫湿粮餐包(试用装)</t>
  </si>
  <si>
    <t>交通</t>
  </si>
  <si>
    <t>家-丰盛商业中心 卡丢 37</t>
  </si>
  <si>
    <t>丰盛商业中心-家 卡丢 37</t>
  </si>
  <si>
    <t>2026-03-02</t>
  </si>
  <si>
    <t>麦当劳（招商银行储蓄卡(3615)）</t>
  </si>
  <si>
    <t>记账表_momo_star透视</t>
  </si>
  <si>
    <t>记账表_momo_star透视 - 记账表_momo_star</t>
  </si>
  <si>
    <t>总计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</si>
</sst>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sz val="11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8"/>
      </right>
      <top style="thin">
        <color indexed="14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4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4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5" fillId="4" borderId="1" applyNumberFormat="1" applyFont="1" applyFill="1" applyBorder="1" applyAlignment="1" applyProtection="0">
      <alignment vertical="top"/>
    </xf>
    <xf numFmtId="49" fontId="5" fillId="5" borderId="2" applyNumberFormat="1" applyFont="1" applyFill="1" applyBorder="1" applyAlignment="1" applyProtection="0">
      <alignment vertical="top"/>
    </xf>
    <xf numFmtId="49" fontId="5" fillId="5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5" fillId="5" borderId="5" applyNumberFormat="1" applyFont="1" applyFill="1" applyBorder="1" applyAlignment="1" applyProtection="0">
      <alignment vertical="top"/>
    </xf>
    <xf numFmtId="49" fontId="5" fillId="5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5" fillId="4" borderId="8" applyNumberFormat="1" applyFont="1" applyFill="1" applyBorder="1" applyAlignment="1" applyProtection="0">
      <alignment vertical="top"/>
    </xf>
    <xf numFmtId="49" fontId="5" fillId="4" borderId="9" pivotButton="1" applyNumberFormat="1" applyFont="1" applyFill="1" applyBorder="1" applyAlignment="1" applyProtection="0">
      <alignment vertical="top"/>
    </xf>
    <xf numFmtId="49" fontId="5" fillId="4" borderId="9" applyNumberFormat="1" applyFont="1" applyFill="1" applyBorder="1" applyAlignment="1" applyProtection="0">
      <alignment vertical="top"/>
    </xf>
    <xf numFmtId="49" fontId="5" fillId="4" borderId="10" applyNumberFormat="1" applyFont="1" applyFill="1" applyBorder="1" applyAlignment="1" applyProtection="0">
      <alignment vertical="top"/>
    </xf>
    <xf numFmtId="49" fontId="5" fillId="5" borderId="11" applyNumberFormat="1" applyFont="1" applyFill="1" applyBorder="1" applyAlignment="1" applyProtection="0">
      <alignment vertical="top"/>
    </xf>
    <xf numFmtId="0" fontId="0" fillId="6" borderId="12" applyNumberFormat="1" applyFont="1" applyFill="1" applyBorder="1" applyAlignment="1" applyProtection="0">
      <alignment vertical="top"/>
    </xf>
    <xf numFmtId="0" fontId="0" fillId="6" borderId="11" applyNumberFormat="1" applyFont="1" applyFill="1" applyBorder="1" applyAlignment="1" applyProtection="0">
      <alignment vertical="top"/>
    </xf>
    <xf numFmtId="0" fontId="5" fillId="5" borderId="12" applyNumberFormat="1" applyFont="1" applyFill="1" applyBorder="1" applyAlignment="1" applyProtection="0">
      <alignment vertical="top"/>
    </xf>
    <xf numFmtId="49" fontId="5" fillId="5" borderId="13" applyNumberFormat="1" applyFont="1" applyFill="1" applyBorder="1" applyAlignment="1" applyProtection="0">
      <alignment vertical="top"/>
    </xf>
    <xf numFmtId="0" fontId="0" fillId="6" borderId="14" applyNumberFormat="1" applyFont="1" applyFill="1" applyBorder="1" applyAlignment="1" applyProtection="0">
      <alignment vertical="top"/>
    </xf>
    <xf numFmtId="0" fontId="0" fillId="6" borderId="13" applyNumberFormat="1" applyFont="1" applyFill="1" applyBorder="1" applyAlignment="1" applyProtection="0">
      <alignment vertical="top"/>
    </xf>
    <xf numFmtId="0" fontId="5" fillId="5" borderId="14" applyNumberFormat="1" applyFont="1" applyFill="1" applyBorder="1" applyAlignment="1" applyProtection="0">
      <alignment vertical="top"/>
    </xf>
    <xf numFmtId="49" fontId="5" fillId="6" borderId="11" applyNumberFormat="1" applyFont="1" applyFill="1" applyBorder="1" applyAlignment="1" applyProtection="0">
      <alignment vertical="top"/>
    </xf>
    <xf numFmtId="0" fontId="5" fillId="6" borderId="12" applyNumberFormat="1" applyFont="1" applyFill="1" applyBorder="1" applyAlignment="1" applyProtection="0">
      <alignment vertical="top"/>
    </xf>
    <xf numFmtId="0" fontId="5" fillId="6" borderId="11" applyNumberFormat="1" applyFont="1" applyFill="1" applyBorder="1" applyAlignment="1" applyProtection="0">
      <alignment vertical="top"/>
    </xf>
  </cellXfs>
  <cellStyles count="1">
    <cellStyle name="Normal" xfId="0" builtinId="0"/>
  </cellStyles>
  <dxfs count="8">
    <dxf>
      <font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3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border>
        <left style="thin">
          <color indexed="13"/>
        </left>
        <right style="thin">
          <color indexed="13"/>
        </right>
        <top style="thin">
          <color indexed="13"/>
        </top>
        <bottom style="thin">
          <color indexed="14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3"/>
        </left>
        <right style="thin">
          <color indexed="14"/>
        </right>
        <top style="thin">
          <color indexed="13"/>
        </top>
        <bottom style="thin">
          <color indexed="13"/>
        </bottom>
        <diagonal/>
        <vertical style="thin">
          <color indexed="13"/>
        </vertical>
        <horizontal style="thin">
          <color indexed="13"/>
        </horizontal>
      </border>
    </dxf>
    <dxf>
      <font>
        <b val="1"/>
        <color rgb="ff000000"/>
      </font>
      <fill>
        <patternFill patternType="solid">
          <fgColor indexed="17"/>
          <bgColor indexed="18"/>
        </patternFill>
      </fill>
      <border>
        <left style="thin">
          <color indexed="13"/>
        </left>
        <right style="thin">
          <color indexed="14"/>
        </right>
        <top style="thin">
          <color indexed="8"/>
        </top>
        <bottom style="thin">
          <color indexed="8"/>
        </bottom>
        <diagonal/>
        <vertical style="thin">
          <color indexed="13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19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7"/>
          <bgColor indexed="20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3"/>
        </left>
        <right style="thin">
          <color indexed="13"/>
        </right>
        <top style="thin">
          <color indexed="14"/>
        </top>
        <bottom style="thin">
          <color indexed="8"/>
        </bottom>
        <diagonal/>
        <vertical style="thin">
          <color indexed="13"/>
        </vertical>
        <horizontal style="thin">
          <color indexed="13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ffffff"/>
      <rgbColor rgb="00000000"/>
      <rgbColor rgb="ffd3d3d3"/>
      <rgbColor rgb="fff4f4f4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9" createdVersion="7">
  <cacheSource type="worksheet">
    <worksheetSource ref="A2:H11" sheet="工作表 1 - 记账表_momo_star"/>
  </cacheSource>
  <cacheFields count="8">
    <cacheField name="月份" numFmtId="0">
      <sharedItems containsNonDate="0" count="2">
        <s v="2026-02"/>
        <s v="2026-03"/>
      </sharedItems>
    </cacheField>
    <cacheField name="日期" numFmtId="0">
      <sharedItems containsNonDate="0" count="5">
        <s v="2026-02-28"/>
        <s v="2026-02-27"/>
        <s v="2026-02-26"/>
        <s v="2026-03-01"/>
        <s v="2026-03-02"/>
      </sharedItems>
    </cacheField>
    <cacheField name="记账人" numFmtId="0">
      <sharedItems containsNonDate="0" count="2">
        <s v="momo"/>
        <s v="star"/>
      </sharedItems>
    </cacheField>
    <cacheField name="收/支" numFmtId="0">
      <sharedItems containsNonDate="0" count="1">
        <s v="支出"/>
      </sharedItems>
    </cacheField>
    <cacheField name="类目" numFmtId="0">
      <sharedItems containsNonDate="0" count="5">
        <s v="餐饮"/>
        <s v="娱乐"/>
        <s v="购物"/>
        <s v="宠物"/>
        <s v="交通"/>
      </sharedItems>
    </cacheField>
    <cacheField name="来源" numFmtId="0">
      <sharedItems containsNonDate="0" containsString="0" containsBlank="1" count="1">
        <m/>
      </sharedItems>
    </cacheField>
    <cacheField name="金额" numFmtId="0">
      <sharedItems containsSemiMixedTypes="0" containsNonDate="0" containsString="0" containsNumber="1" minValue="7.5" maxValue="28" count="7">
        <n v="10"/>
        <n v="28"/>
        <n v="21.96"/>
        <n v="7.5"/>
        <n v="18.67"/>
        <n v="13.72"/>
        <n v="19.1"/>
      </sharedItems>
    </cacheField>
    <cacheField name="备注" numFmtId="0">
      <sharedItems containsNonDate="0" count="8">
        <s v="[堂食]_三立方凌空SOHO7号楼店_176187_SLFZY00013_无_无（零钱）"/>
        <s v="上海凌空SOHO店（招商银行信用卡(5080)）"/>
        <s v="上海市福利彩票发行中心（零钱）"/>
        <s v="淘宝平台商户（零钱）"/>
        <s v="皇家通用猫湿粮餐包(试用装)"/>
        <s v="家-丰盛商业中心 卡丢 37"/>
        <s v="丰盛商业中心-家 卡丢 37"/>
        <s v="麦当劳（招商银行储蓄卡(3615)）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">
  <r>
    <x v="0"/>
    <x v="0"/>
    <x v="0"/>
    <x v="0"/>
    <x v="0"/>
    <x v="0"/>
    <x v="0"/>
    <x v="0"/>
  </r>
  <r>
    <x v="0"/>
    <x v="0"/>
    <x v="0"/>
    <x v="0"/>
    <x v="0"/>
    <x v="0"/>
    <x v="1"/>
    <x v="1"/>
  </r>
  <r>
    <x v="0"/>
    <x v="1"/>
    <x v="0"/>
    <x v="0"/>
    <x v="1"/>
    <x v="0"/>
    <x v="0"/>
    <x v="2"/>
  </r>
  <r>
    <x v="0"/>
    <x v="2"/>
    <x v="1"/>
    <x v="0"/>
    <x v="2"/>
    <x v="0"/>
    <x v="2"/>
    <x v="3"/>
  </r>
  <r>
    <x v="1"/>
    <x v="3"/>
    <x v="1"/>
    <x v="0"/>
    <x v="3"/>
    <x v="0"/>
    <x v="3"/>
    <x v="4"/>
  </r>
  <r>
    <x v="1"/>
    <x v="3"/>
    <x v="0"/>
    <x v="0"/>
    <x v="3"/>
    <x v="0"/>
    <x v="3"/>
    <x v="4"/>
  </r>
  <r>
    <x v="1"/>
    <x v="3"/>
    <x v="0"/>
    <x v="0"/>
    <x v="4"/>
    <x v="0"/>
    <x v="4"/>
    <x v="5"/>
  </r>
  <r>
    <x v="1"/>
    <x v="3"/>
    <x v="0"/>
    <x v="0"/>
    <x v="4"/>
    <x v="0"/>
    <x v="5"/>
    <x v="6"/>
  </r>
  <r>
    <x v="1"/>
    <x v="4"/>
    <x v="0"/>
    <x v="0"/>
    <x v="0"/>
    <x v="0"/>
    <x v="6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记账表_momo_star透视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6" firstHeaderRow="1" firstDataRow="2" firstDataCol="1"/>
  <pivotFields count="8">
    <pivotField name="月份" axis="axisCol" compact="0" numFmtId="49" outline="0" showAll="0" sortType="ascending">
      <items count="3">
        <item x="0"/>
        <item x="1"/>
        <item t="default" sd="0"/>
      </items>
    </pivotField>
    <pivotField name="日期" compact="0" outline="0" showAll="0">
      <items count="6">
        <item x="2"/>
        <item x="1"/>
        <item x="0"/>
        <item x="3"/>
        <item x="4"/>
        <item t="default" sd="0"/>
      </items>
    </pivotField>
    <pivotField name="记账人" axis="axisRow" compact="0" numFmtId="49" outline="0" showAll="0" sortType="ascending">
      <items count="3">
        <item x="0"/>
        <item x="1"/>
        <item t="default" sd="0"/>
      </items>
    </pivotField>
    <pivotField name="收/支" compact="0" outline="0" showAll="0">
      <items count="2">
        <item sd="0" x="0"/>
        <item t="default" sd="0"/>
      </items>
    </pivotField>
    <pivotField name="类目" compact="0" outline="0" showAll="0">
      <items count="6">
        <item x="4"/>
        <item x="1"/>
        <item x="3"/>
        <item x="2"/>
        <item x="0"/>
        <item t="default" sd="0"/>
      </items>
    </pivotField>
    <pivotField name="来源" compact="0" outline="0" showAll="0">
      <items count="2">
        <item sd="0" x="0"/>
        <item t="default" sd="0"/>
      </items>
    </pivotField>
    <pivotField name="金额" axis="axisValues" dataField="1" compact="0" outline="0" showAll="0"/>
    <pivotField name="备注" compact="0" outline="0" showAll="0">
      <items count="9">
        <item x="0"/>
        <item x="1"/>
        <item x="2"/>
        <item x="6"/>
        <item x="5"/>
        <item x="3"/>
        <item x="4"/>
        <item x="7"/>
        <item t="default" sd="0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金额的总和" fld="6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38</v>
      </c>
      <c r="C11" s="3"/>
      <c r="D11" s="3"/>
    </row>
    <row r="12">
      <c r="B12" s="4"/>
      <c r="C12" t="s" s="4">
        <v>38</v>
      </c>
      <c r="D12" t="s" s="5">
        <v>39</v>
      </c>
    </row>
  </sheetData>
  <mergeCells count="1">
    <mergeCell ref="B3:D3"/>
  </mergeCells>
  <hyperlinks>
    <hyperlink ref="D10" location="'工作表 1 - 记账表_momo_star'!R2C1" tooltip="" display="工作表 1 - 记账表_momo_star"/>
    <hyperlink ref="D12" location="'记账表_momo_star透视 - 记账表_momo_star'!R2C1" tooltip="" display="记账表_momo_star透视 - 记账表_momo_star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"/>
  <sheetViews>
    <sheetView workbookViewId="0" showGridLines="0" defaultGridColor="1"/>
  </sheetViews>
  <sheetFormatPr defaultColWidth="8.33333" defaultRowHeight="19.9" customHeight="1" outlineLevelRow="0" outlineLevelCol="0"/>
  <cols>
    <col min="1" max="2" width="10.3516" style="6" customWidth="1"/>
    <col min="3" max="3" width="6.5" style="6" customWidth="1"/>
    <col min="4" max="4" width="5.5" style="6" customWidth="1"/>
    <col min="5" max="6" width="4.85156" style="6" customWidth="1"/>
    <col min="7" max="7" width="5.67188" style="6" customWidth="1"/>
    <col min="8" max="8" width="54.1719" style="6" customWidth="1"/>
    <col min="9" max="16384" width="8.35156" style="6" customWidth="1"/>
  </cols>
  <sheetData>
    <row r="1" ht="31" customHeight="1">
      <c r="A1" t="s" s="7">
        <v>5</v>
      </c>
      <c r="B1" s="7"/>
      <c r="C1" s="7"/>
      <c r="D1" s="7"/>
      <c r="E1" s="7"/>
      <c r="F1" s="7"/>
      <c r="G1" s="7"/>
      <c r="H1" s="7"/>
    </row>
    <row r="2" ht="20.25" customHeight="1">
      <c r="A2" t="s" s="8">
        <v>7</v>
      </c>
      <c r="B2" t="s" s="8">
        <v>8</v>
      </c>
      <c r="C2" t="s" s="8">
        <v>9</v>
      </c>
      <c r="D2" t="s" s="8">
        <v>10</v>
      </c>
      <c r="E2" t="s" s="8">
        <v>11</v>
      </c>
      <c r="F2" t="s" s="8">
        <v>12</v>
      </c>
      <c r="G2" t="s" s="8">
        <v>13</v>
      </c>
      <c r="H2" t="s" s="8">
        <v>14</v>
      </c>
    </row>
    <row r="3" ht="20.25" customHeight="1">
      <c r="A3" t="s" s="9">
        <f>LEFT($B3,7)</f>
        <v>15</v>
      </c>
      <c r="B3" t="s" s="10">
        <v>16</v>
      </c>
      <c r="C3" t="s" s="11">
        <v>17</v>
      </c>
      <c r="D3" t="s" s="12">
        <v>18</v>
      </c>
      <c r="E3" t="s" s="12">
        <v>19</v>
      </c>
      <c r="F3" s="13"/>
      <c r="G3" s="14">
        <v>10</v>
      </c>
      <c r="H3" t="s" s="12">
        <v>20</v>
      </c>
    </row>
    <row r="4" ht="20.05" customHeight="1">
      <c r="A4" t="s" s="15">
        <f>LEFT($B4,7)</f>
        <v>15</v>
      </c>
      <c r="B4" t="s" s="16">
        <v>16</v>
      </c>
      <c r="C4" t="s" s="17">
        <v>17</v>
      </c>
      <c r="D4" t="s" s="18">
        <v>18</v>
      </c>
      <c r="E4" t="s" s="18">
        <v>19</v>
      </c>
      <c r="F4" s="19"/>
      <c r="G4" s="20">
        <v>28</v>
      </c>
      <c r="H4" t="s" s="18">
        <v>21</v>
      </c>
    </row>
    <row r="5" ht="20.05" customHeight="1">
      <c r="A5" t="s" s="15">
        <f>LEFT($B5,7)</f>
        <v>15</v>
      </c>
      <c r="B5" t="s" s="16">
        <v>22</v>
      </c>
      <c r="C5" t="s" s="17">
        <v>17</v>
      </c>
      <c r="D5" t="s" s="18">
        <v>18</v>
      </c>
      <c r="E5" t="s" s="18">
        <v>23</v>
      </c>
      <c r="F5" s="19"/>
      <c r="G5" s="20">
        <v>10</v>
      </c>
      <c r="H5" t="s" s="18">
        <v>24</v>
      </c>
    </row>
    <row r="6" ht="20.05" customHeight="1">
      <c r="A6" t="s" s="15">
        <f>LEFT($B6,7)</f>
        <v>15</v>
      </c>
      <c r="B6" t="s" s="16">
        <v>25</v>
      </c>
      <c r="C6" t="s" s="17">
        <v>26</v>
      </c>
      <c r="D6" t="s" s="18">
        <v>18</v>
      </c>
      <c r="E6" t="s" s="18">
        <v>27</v>
      </c>
      <c r="F6" s="19"/>
      <c r="G6" s="20">
        <v>21.96</v>
      </c>
      <c r="H6" t="s" s="18">
        <v>28</v>
      </c>
    </row>
    <row r="7" ht="20.05" customHeight="1">
      <c r="A7" t="s" s="15">
        <f>LEFT($B7,7)</f>
        <v>29</v>
      </c>
      <c r="B7" t="s" s="16">
        <v>30</v>
      </c>
      <c r="C7" t="s" s="17">
        <v>26</v>
      </c>
      <c r="D7" t="s" s="18">
        <v>18</v>
      </c>
      <c r="E7" t="s" s="18">
        <v>31</v>
      </c>
      <c r="F7" s="19"/>
      <c r="G7" s="20">
        <v>7.5</v>
      </c>
      <c r="H7" t="s" s="18">
        <v>32</v>
      </c>
    </row>
    <row r="8" ht="20.05" customHeight="1">
      <c r="A8" t="s" s="15">
        <f>LEFT($B8,7)</f>
        <v>29</v>
      </c>
      <c r="B8" t="s" s="16">
        <v>30</v>
      </c>
      <c r="C8" t="s" s="17">
        <v>17</v>
      </c>
      <c r="D8" t="s" s="18">
        <v>18</v>
      </c>
      <c r="E8" t="s" s="18">
        <v>31</v>
      </c>
      <c r="F8" s="19"/>
      <c r="G8" s="20">
        <v>7.5</v>
      </c>
      <c r="H8" t="s" s="18">
        <v>32</v>
      </c>
    </row>
    <row r="9" ht="20.05" customHeight="1">
      <c r="A9" t="s" s="15">
        <f>LEFT($B9,7)</f>
        <v>29</v>
      </c>
      <c r="B9" t="s" s="16">
        <v>30</v>
      </c>
      <c r="C9" t="s" s="17">
        <v>17</v>
      </c>
      <c r="D9" t="s" s="18">
        <v>18</v>
      </c>
      <c r="E9" t="s" s="18">
        <v>33</v>
      </c>
      <c r="F9" s="19"/>
      <c r="G9" s="20">
        <v>18.67</v>
      </c>
      <c r="H9" t="s" s="18">
        <v>34</v>
      </c>
    </row>
    <row r="10" ht="20.05" customHeight="1">
      <c r="A10" t="s" s="15">
        <f>LEFT($B10,7)</f>
        <v>29</v>
      </c>
      <c r="B10" t="s" s="16">
        <v>30</v>
      </c>
      <c r="C10" t="s" s="17">
        <v>17</v>
      </c>
      <c r="D10" t="s" s="18">
        <v>18</v>
      </c>
      <c r="E10" t="s" s="18">
        <v>33</v>
      </c>
      <c r="F10" s="19"/>
      <c r="G10" s="20">
        <v>13.72</v>
      </c>
      <c r="H10" t="s" s="18">
        <v>35</v>
      </c>
    </row>
    <row r="11" ht="20.05" customHeight="1">
      <c r="A11" t="s" s="15">
        <f>LEFT($B11,7)</f>
        <v>29</v>
      </c>
      <c r="B11" t="s" s="16">
        <v>36</v>
      </c>
      <c r="C11" t="s" s="17">
        <v>17</v>
      </c>
      <c r="D11" t="s" s="18">
        <v>18</v>
      </c>
      <c r="E11" t="s" s="18">
        <v>19</v>
      </c>
      <c r="F11" s="19"/>
      <c r="G11" s="20">
        <v>19.1</v>
      </c>
      <c r="H11" t="s" s="18">
        <v>37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"/>
  <sheetViews>
    <sheetView workbookViewId="0" showGridLines="0" defaultGridColor="1"/>
  </sheetViews>
  <sheetFormatPr defaultColWidth="13.3333" defaultRowHeight="19.9" customHeight="1" outlineLevelRow="0" outlineLevelCol="0"/>
  <cols>
    <col min="1" max="4" width="13.3516" style="21" customWidth="1"/>
    <col min="5" max="16384" width="13.3516" style="21" customWidth="1"/>
  </cols>
  <sheetData>
    <row r="1" ht="31" customHeight="1">
      <c r="A1" t="s" s="7">
        <v>38</v>
      </c>
      <c r="B1" s="7"/>
      <c r="C1" s="7"/>
      <c r="D1" s="7"/>
    </row>
    <row r="2" ht="20.85" customHeight="1">
      <c r="A2" t="s" s="22">
        <v>7</v>
      </c>
      <c r="B2" t="s" s="23">
        <v>7</v>
      </c>
    </row>
    <row r="3" ht="21.05" customHeight="1">
      <c r="A3" t="s" s="25">
        <v>9</v>
      </c>
      <c r="B3" t="s" s="24">
        <v>15</v>
      </c>
      <c r="C3" t="s" s="22">
        <v>29</v>
      </c>
      <c r="D3" t="s" s="24">
        <v>40</v>
      </c>
    </row>
    <row r="4" ht="20.25" customHeight="1">
      <c r="A4" t="s" s="26">
        <v>17</v>
      </c>
      <c r="B4" s="27">
        <v>48</v>
      </c>
      <c r="C4" s="28">
        <v>58.99</v>
      </c>
      <c r="D4" s="29">
        <v>106.99</v>
      </c>
    </row>
    <row r="5" ht="20.25" customHeight="1">
      <c r="A5" t="s" s="30">
        <v>26</v>
      </c>
      <c r="B5" s="31">
        <v>21.96</v>
      </c>
      <c r="C5" s="32">
        <v>7.5</v>
      </c>
      <c r="D5" s="33">
        <v>29.46</v>
      </c>
    </row>
    <row r="6" ht="20.25" customHeight="1">
      <c r="A6" t="s" s="34">
        <v>40</v>
      </c>
      <c r="B6" s="35">
        <v>69.95999999999999</v>
      </c>
      <c r="C6" s="36">
        <v>66.48999999999999</v>
      </c>
      <c r="D6" s="35">
        <v>136.45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